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ing" sheetId="1" state="visible" r:id="rId1"/>
  </sheets>
  <definedNames>
    <definedName name="_xlnm._FilterDatabase" localSheetId="0" hidden="1">'Tracking'!$A$5:$X$35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sz val="9"/>
    </font>
    <font>
      <sz val="9"/>
    </font>
    <font>
      <b val="1"/>
      <color rgb="00FFFFFF"/>
      <sz val="9"/>
    </font>
    <font>
      <b val="1"/>
    </font>
  </fonts>
  <fills count="12">
    <fill>
      <patternFill/>
    </fill>
    <fill>
      <patternFill patternType="gray125"/>
    </fill>
    <fill>
      <patternFill patternType="solid">
        <fgColor rgb="00FFF200"/>
      </patternFill>
    </fill>
    <fill>
      <patternFill patternType="solid">
        <fgColor rgb="005B9BD5"/>
      </patternFill>
    </fill>
    <fill>
      <patternFill patternType="solid">
        <fgColor rgb="0092D050"/>
      </patternFill>
    </fill>
    <fill>
      <patternFill patternType="solid">
        <fgColor rgb="00FFFFFF"/>
      </patternFill>
    </fill>
    <fill>
      <patternFill patternType="solid">
        <fgColor rgb="00DDEBF7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D9A300"/>
      </patternFill>
    </fill>
    <fill>
      <patternFill patternType="solid">
        <fgColor rgb="00E2F0D9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9" fontId="1" fillId="9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164" fontId="2" fillId="9" borderId="1" applyAlignment="1" pivotButton="0" quotePrefix="0" xfId="0">
      <alignment horizontal="center" vertical="center" wrapText="1"/>
    </xf>
    <xf numFmtId="9" fontId="2" fillId="3" borderId="1" applyAlignment="1" pivotButton="0" quotePrefix="0" xfId="0">
      <alignment horizontal="center" vertical="center" wrapText="1"/>
    </xf>
    <xf numFmtId="2" fontId="2" fillId="6" borderId="1" applyAlignment="1" pivotButton="0" quotePrefix="0" xfId="0">
      <alignment horizontal="center" vertical="center" wrapText="1"/>
    </xf>
    <xf numFmtId="9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164" fontId="2" fillId="8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164" fontId="2" fillId="11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F200"/>
        </patternFill>
      </fill>
    </dxf>
    <dxf>
      <fill>
        <patternFill patternType="solid">
          <fgColor rgb="0092D050"/>
        </patternFill>
      </fill>
    </dxf>
    <dxf>
      <fill>
        <patternFill patternType="solid">
          <fgColor rgb="005B9BD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35"/>
  <sheetViews>
    <sheetView showGridLines="0" workbookViewId="0">
      <pane xSplit="6" ySplit="6" topLeftCell="G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12" customWidth="1" min="7" max="7"/>
    <col width="10" customWidth="1" min="8" max="8"/>
    <col width="7" customWidth="1" min="9" max="9"/>
    <col hidden="1" width="4" customWidth="1" min="10" max="10"/>
    <col width="18" customWidth="1" min="11" max="11"/>
    <col width="10" customWidth="1" min="12" max="12"/>
    <col width="12" customWidth="1" min="13" max="13"/>
    <col width="11" customWidth="1" min="14" max="14"/>
    <col width="11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9" customWidth="1" min="21" max="21"/>
    <col width="24" customWidth="1" min="22" max="22"/>
    <col width="6" customWidth="1" min="23" max="23"/>
    <col width="6" customWidth="1" min="24" max="24"/>
  </cols>
  <sheetData>
    <row r="2">
      <c r="R2" s="1" t="inlineStr">
        <is>
          <t>Warning</t>
        </is>
      </c>
      <c r="S2" s="2" t="inlineStr">
        <is>
          <t>Delta &gt;= 5%</t>
        </is>
      </c>
    </row>
    <row r="3">
      <c r="R3" s="3" t="inlineStr">
        <is>
          <t>On-tracked</t>
        </is>
      </c>
      <c r="S3" s="2" t="inlineStr">
        <is>
          <t>Delta &lt;5%</t>
        </is>
      </c>
    </row>
    <row r="4" ht="34" customHeight="1">
      <c r="A4" s="4" t="n"/>
      <c r="B4" s="4" t="n"/>
      <c r="C4" s="4" t="n"/>
      <c r="D4" s="4" t="n"/>
      <c r="E4" s="4" t="n"/>
      <c r="F4" s="4" t="n"/>
      <c r="G4" s="5" t="inlineStr"/>
      <c r="H4" s="4" t="n"/>
      <c r="I4" s="4" t="n"/>
      <c r="J4" s="4" t="n"/>
      <c r="K4" s="4" t="n"/>
      <c r="L4" s="6" t="inlineStr">
        <is>
          <t>PIC</t>
        </is>
      </c>
      <c r="M4" s="6" t="inlineStr">
        <is>
          <t>Milestone</t>
        </is>
      </c>
      <c r="N4" s="6" t="inlineStr">
        <is>
          <t>Start date
(Plan)</t>
        </is>
      </c>
      <c r="O4" s="6" t="inlineStr">
        <is>
          <t>End date
(Plan)</t>
        </is>
      </c>
      <c r="P4" s="6" t="inlineStr">
        <is>
          <t>Est (MH) OR
SP</t>
        </is>
      </c>
      <c r="Q4" s="6" t="inlineStr">
        <is>
          <t>Target</t>
        </is>
      </c>
      <c r="R4" s="6" t="inlineStr">
        <is>
          <t>Current
Progress</t>
        </is>
      </c>
      <c r="S4" s="6" t="inlineStr">
        <is>
          <t>Current
Progress</t>
        </is>
      </c>
      <c r="T4" s="6" t="inlineStr">
        <is>
          <t>Previous value</t>
        </is>
      </c>
      <c r="U4" s="6" t="inlineStr">
        <is>
          <t>Delta</t>
        </is>
      </c>
      <c r="V4" s="6" t="inlineStr">
        <is>
          <t>Note</t>
        </is>
      </c>
      <c r="W4" s="4" t="n"/>
      <c r="X4" s="4" t="n"/>
    </row>
    <row r="5" ht="42" customHeight="1">
      <c r="A5" s="7" t="inlineStr">
        <is>
          <t>Module</t>
        </is>
      </c>
      <c r="B5" s="7" t="inlineStr">
        <is>
          <t>1</t>
        </is>
      </c>
      <c r="C5" s="7" t="inlineStr">
        <is>
          <t>1</t>
        </is>
      </c>
      <c r="D5" s="7" t="inlineStr">
        <is>
          <t>0</t>
        </is>
      </c>
      <c r="E5" s="7" t="inlineStr">
        <is>
          <t>0</t>
        </is>
      </c>
      <c r="F5" s="7" t="inlineStr"/>
      <c r="G5" s="7" t="inlineStr">
        <is>
          <t>Common</t>
        </is>
      </c>
      <c r="H5" s="7" t="inlineStr">
        <is>
          <t>Overall</t>
        </is>
      </c>
      <c r="I5" s="7" t="inlineStr">
        <is>
          <t>Level</t>
        </is>
      </c>
      <c r="J5" s="7" t="inlineStr"/>
      <c r="K5" s="7" t="inlineStr">
        <is>
          <t>Item</t>
        </is>
      </c>
      <c r="L5" s="7" t="inlineStr">
        <is>
          <t>PIC</t>
        </is>
      </c>
      <c r="M5" s="7" t="inlineStr">
        <is>
          <t>Milestone</t>
        </is>
      </c>
      <c r="N5" s="7" t="inlineStr">
        <is>
          <t>Start date
(Plan)</t>
        </is>
      </c>
      <c r="O5" s="7" t="inlineStr">
        <is>
          <t>End date
(Plan)</t>
        </is>
      </c>
      <c r="P5" s="7" t="inlineStr">
        <is>
          <t>Est (MH) OR
SP</t>
        </is>
      </c>
      <c r="Q5" s="7" t="inlineStr">
        <is>
          <t>Target</t>
        </is>
      </c>
      <c r="R5" s="7" t="inlineStr">
        <is>
          <t>Current
Progress</t>
        </is>
      </c>
      <c r="S5" s="7" t="inlineStr">
        <is>
          <t>Current
Progress</t>
        </is>
      </c>
      <c r="T5" s="7" t="inlineStr">
        <is>
          <t>Previous value</t>
        </is>
      </c>
      <c r="U5" s="7" t="inlineStr">
        <is>
          <t>Delta</t>
        </is>
      </c>
      <c r="V5" s="7" t="inlineStr">
        <is>
          <t>Note</t>
        </is>
      </c>
      <c r="W5" s="8" t="inlineStr">
        <is>
          <t>Tu</t>
        </is>
      </c>
      <c r="X5" s="8" t="inlineStr">
        <is>
          <t>We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9">
        <f>SUM(P7:P35)</f>
        <v/>
      </c>
      <c r="Q6" s="4" t="n"/>
      <c r="R6" s="10">
        <f>AVERAGE(R7:R35)</f>
        <v/>
      </c>
      <c r="S6" s="9">
        <f>SUM(S7:S35)</f>
        <v/>
      </c>
      <c r="T6" s="4" t="n"/>
      <c r="U6" s="10">
        <f>AVERAGE(U7:U35)</f>
        <v/>
      </c>
      <c r="V6" s="4" t="n"/>
      <c r="W6" s="11" t="n">
        <v>24</v>
      </c>
      <c r="X6" s="11" t="n">
        <v>25</v>
      </c>
    </row>
    <row r="7">
      <c r="A7" s="12" t="inlineStr">
        <is>
          <t>MODULE</t>
        </is>
      </c>
      <c r="B7" s="12" t="n">
        <v>1</v>
      </c>
      <c r="C7" s="12" t="n">
        <v>0</v>
      </c>
      <c r="D7" s="12" t="n">
        <v>0</v>
      </c>
      <c r="E7" s="12" t="n">
        <v>0</v>
      </c>
      <c r="F7" s="13" t="inlineStr"/>
      <c r="G7" s="13" t="inlineStr">
        <is>
          <t>Common</t>
        </is>
      </c>
      <c r="H7" s="13" t="inlineStr">
        <is>
          <t>Overall</t>
        </is>
      </c>
      <c r="I7" s="13" t="inlineStr">
        <is>
          <t>Level</t>
        </is>
      </c>
      <c r="J7" s="13" t="inlineStr"/>
      <c r="K7" s="13" t="inlineStr">
        <is>
          <t>TASK 1</t>
        </is>
      </c>
      <c r="L7" s="13" t="inlineStr"/>
      <c r="M7" s="13" t="inlineStr"/>
      <c r="N7" s="13" t="inlineStr">
        <is>
          <t>2-Apr</t>
        </is>
      </c>
      <c r="O7" s="13" t="inlineStr">
        <is>
          <t>15-Jun</t>
        </is>
      </c>
      <c r="P7" s="14" t="n">
        <v>213.2</v>
      </c>
      <c r="Q7" s="13" t="n">
        <v>0.76</v>
      </c>
      <c r="R7" s="15" t="n">
        <v>0.67</v>
      </c>
      <c r="S7" s="16">
        <f>P7*R7</f>
        <v/>
      </c>
      <c r="T7" s="13" t="inlineStr"/>
      <c r="U7" s="17" t="n">
        <v>-0.1</v>
      </c>
      <c r="V7" s="13" t="inlineStr"/>
      <c r="W7" s="13" t="n"/>
      <c r="X7" s="13" t="n"/>
    </row>
    <row r="8">
      <c r="A8" s="12" t="inlineStr">
        <is>
          <t>MODULE</t>
        </is>
      </c>
      <c r="B8" s="12" t="n">
        <v>1</v>
      </c>
      <c r="C8" s="12" t="n">
        <v>1</v>
      </c>
      <c r="D8" s="12" t="n">
        <v>0</v>
      </c>
      <c r="E8" s="12" t="n">
        <v>0</v>
      </c>
      <c r="F8" s="18" t="inlineStr"/>
      <c r="G8" s="18" t="inlineStr">
        <is>
          <t>Module</t>
        </is>
      </c>
      <c r="H8" s="18" t="inlineStr">
        <is>
          <t>1.1</t>
        </is>
      </c>
      <c r="I8" s="18" t="n">
        <v>1</v>
      </c>
      <c r="J8" s="18" t="inlineStr"/>
      <c r="K8" s="18" t="inlineStr">
        <is>
          <t>MODULE 1</t>
        </is>
      </c>
      <c r="L8" s="18" t="inlineStr"/>
      <c r="M8" s="18" t="inlineStr">
        <is>
          <t>PoM_M_1</t>
        </is>
      </c>
      <c r="N8" s="18" t="inlineStr">
        <is>
          <t>2-Apr</t>
        </is>
      </c>
      <c r="O8" s="18" t="inlineStr">
        <is>
          <t>15-Jun</t>
        </is>
      </c>
      <c r="P8" s="19" t="n">
        <v>129.7</v>
      </c>
      <c r="Q8" s="18" t="n">
        <v>0.74</v>
      </c>
      <c r="R8" s="15" t="n">
        <v>0.7</v>
      </c>
      <c r="S8" s="16">
        <f>P8*R8</f>
        <v/>
      </c>
      <c r="T8" s="18" t="inlineStr"/>
      <c r="U8" s="17" t="n">
        <v>-0.03</v>
      </c>
      <c r="V8" s="18" t="inlineStr"/>
      <c r="W8" s="18" t="n"/>
      <c r="X8" s="18" t="n"/>
    </row>
    <row r="9">
      <c r="A9" s="12" t="inlineStr">
        <is>
          <t>MODULE</t>
        </is>
      </c>
      <c r="B9" s="12" t="n">
        <v>1</v>
      </c>
      <c r="C9" s="12" t="n">
        <v>1</v>
      </c>
      <c r="D9" s="12" t="n">
        <v>1</v>
      </c>
      <c r="E9" s="12" t="n">
        <v>0</v>
      </c>
      <c r="F9" s="20" t="inlineStr"/>
      <c r="G9" s="20" t="inlineStr">
        <is>
          <t>SPEC</t>
        </is>
      </c>
      <c r="H9" s="20" t="inlineStr">
        <is>
          <t>1.1.1</t>
        </is>
      </c>
      <c r="I9" s="20" t="n">
        <v>2</v>
      </c>
      <c r="J9" s="20" t="inlineStr"/>
      <c r="K9" s="20" t="inlineStr">
        <is>
          <t>SPEC - action</t>
        </is>
      </c>
      <c r="L9" s="20" t="inlineStr"/>
      <c r="M9" s="20" t="inlineStr">
        <is>
          <t>PoM_M_1</t>
        </is>
      </c>
      <c r="N9" s="20" t="inlineStr">
        <is>
          <t>2-Apr</t>
        </is>
      </c>
      <c r="O9" s="20" t="inlineStr">
        <is>
          <t>16-Apr</t>
        </is>
      </c>
      <c r="P9" s="21" t="n">
        <v>65.90000000000001</v>
      </c>
      <c r="Q9" s="20" t="n">
        <v>1</v>
      </c>
      <c r="R9" s="15" t="n">
        <v>1</v>
      </c>
      <c r="S9" s="16">
        <f>P9*R9</f>
        <v/>
      </c>
      <c r="T9" s="20" t="inlineStr"/>
      <c r="U9" s="17" t="n">
        <v>0</v>
      </c>
      <c r="V9" s="20" t="inlineStr"/>
      <c r="W9" s="20" t="n"/>
      <c r="X9" s="20" t="n"/>
    </row>
    <row r="10">
      <c r="A10" s="12" t="inlineStr">
        <is>
          <t>MODULE</t>
        </is>
      </c>
      <c r="B10" s="12" t="n">
        <v>1</v>
      </c>
      <c r="C10" s="12" t="n">
        <v>1</v>
      </c>
      <c r="D10" s="12" t="n">
        <v>1</v>
      </c>
      <c r="E10" s="12" t="n">
        <v>1</v>
      </c>
      <c r="F10" s="22" t="inlineStr"/>
      <c r="G10" s="22" t="inlineStr">
        <is>
          <t>SPEC</t>
        </is>
      </c>
      <c r="H10" s="22" t="inlineStr">
        <is>
          <t>1.1.1.1</t>
        </is>
      </c>
      <c r="I10" s="22" t="n">
        <v>3</v>
      </c>
      <c r="J10" s="22" t="inlineStr"/>
      <c r="K10" s="22" t="inlineStr">
        <is>
          <t>SPEC - action</t>
        </is>
      </c>
      <c r="L10" s="22" t="inlineStr">
        <is>
          <t>Lion</t>
        </is>
      </c>
      <c r="M10" s="22" t="inlineStr">
        <is>
          <t>PoM_M_1</t>
        </is>
      </c>
      <c r="N10" s="22" t="inlineStr">
        <is>
          <t>2-Apr</t>
        </is>
      </c>
      <c r="O10" s="22" t="inlineStr">
        <is>
          <t>6-Apr</t>
        </is>
      </c>
      <c r="P10" s="23" t="n">
        <v>28</v>
      </c>
      <c r="Q10" s="22" t="n">
        <v>1</v>
      </c>
      <c r="R10" s="15" t="n">
        <v>1</v>
      </c>
      <c r="S10" s="16">
        <f>P10*R10</f>
        <v/>
      </c>
      <c r="T10" s="22" t="inlineStr"/>
      <c r="U10" s="17" t="n">
        <v>0</v>
      </c>
      <c r="V10" s="22" t="inlineStr"/>
      <c r="W10" s="22" t="n"/>
      <c r="X10" s="22" t="n"/>
    </row>
    <row r="11">
      <c r="A11" s="12" t="inlineStr">
        <is>
          <t>MODULE</t>
        </is>
      </c>
      <c r="B11" s="12" t="n">
        <v>1</v>
      </c>
      <c r="C11" s="12" t="n">
        <v>1</v>
      </c>
      <c r="D11" s="12" t="n">
        <v>1</v>
      </c>
      <c r="E11" s="12" t="n">
        <v>2</v>
      </c>
      <c r="F11" s="22" t="inlineStr"/>
      <c r="G11" s="22" t="inlineStr">
        <is>
          <t>SPEC</t>
        </is>
      </c>
      <c r="H11" s="22" t="inlineStr">
        <is>
          <t>1.1.1.2</t>
        </is>
      </c>
      <c r="I11" s="22" t="n">
        <v>3</v>
      </c>
      <c r="J11" s="22" t="inlineStr"/>
      <c r="K11" s="22" t="inlineStr">
        <is>
          <t>SPEC - action</t>
        </is>
      </c>
      <c r="L11" s="22" t="inlineStr">
        <is>
          <t>Tiger</t>
        </is>
      </c>
      <c r="M11" s="22" t="inlineStr">
        <is>
          <t>PoM_M_1</t>
        </is>
      </c>
      <c r="N11" s="22" t="inlineStr">
        <is>
          <t>13-Apr</t>
        </is>
      </c>
      <c r="O11" s="22" t="inlineStr">
        <is>
          <t>14-Apr</t>
        </is>
      </c>
      <c r="P11" s="23" t="n">
        <v>9.300000000000001</v>
      </c>
      <c r="Q11" s="22" t="n">
        <v>1</v>
      </c>
      <c r="R11" s="15" t="n">
        <v>1</v>
      </c>
      <c r="S11" s="16">
        <f>P11*R11</f>
        <v/>
      </c>
      <c r="T11" s="22" t="inlineStr"/>
      <c r="U11" s="17" t="n">
        <v>0</v>
      </c>
      <c r="V11" s="22" t="inlineStr"/>
      <c r="W11" s="22" t="n"/>
      <c r="X11" s="22" t="n"/>
    </row>
    <row r="12">
      <c r="A12" s="12" t="inlineStr">
        <is>
          <t>MODULE</t>
        </is>
      </c>
      <c r="B12" s="12" t="n">
        <v>1</v>
      </c>
      <c r="C12" s="12" t="n">
        <v>1</v>
      </c>
      <c r="D12" s="12" t="n">
        <v>1</v>
      </c>
      <c r="E12" s="12" t="n">
        <v>3</v>
      </c>
      <c r="F12" s="22" t="inlineStr"/>
      <c r="G12" s="22" t="inlineStr">
        <is>
          <t>SPEC</t>
        </is>
      </c>
      <c r="H12" s="22" t="inlineStr">
        <is>
          <t>1.1.1.3</t>
        </is>
      </c>
      <c r="I12" s="22" t="n">
        <v>3</v>
      </c>
      <c r="J12" s="22" t="inlineStr"/>
      <c r="K12" s="22" t="inlineStr">
        <is>
          <t>SPEC - action</t>
        </is>
      </c>
      <c r="L12" s="22" t="inlineStr">
        <is>
          <t>Lion</t>
        </is>
      </c>
      <c r="M12" s="22" t="inlineStr">
        <is>
          <t>PoM_M_1</t>
        </is>
      </c>
      <c r="N12" s="22" t="inlineStr">
        <is>
          <t>13-Apr</t>
        </is>
      </c>
      <c r="O12" s="22" t="inlineStr">
        <is>
          <t>14-Apr</t>
        </is>
      </c>
      <c r="P12" s="23" t="n">
        <v>5.6</v>
      </c>
      <c r="Q12" s="22" t="n">
        <v>1</v>
      </c>
      <c r="R12" s="15" t="n">
        <v>1</v>
      </c>
      <c r="S12" s="16">
        <f>P12*R12</f>
        <v/>
      </c>
      <c r="T12" s="22" t="inlineStr"/>
      <c r="U12" s="17" t="n">
        <v>0</v>
      </c>
      <c r="V12" s="22" t="inlineStr"/>
      <c r="W12" s="22" t="n"/>
      <c r="X12" s="22" t="n"/>
    </row>
    <row r="13">
      <c r="A13" s="12" t="inlineStr">
        <is>
          <t>MODULE</t>
        </is>
      </c>
      <c r="B13" s="12" t="n">
        <v>1</v>
      </c>
      <c r="C13" s="12" t="n">
        <v>1</v>
      </c>
      <c r="D13" s="12" t="n">
        <v>1</v>
      </c>
      <c r="E13" s="12" t="n">
        <v>4</v>
      </c>
      <c r="F13" s="22" t="inlineStr"/>
      <c r="G13" s="22" t="inlineStr">
        <is>
          <t>SPEC</t>
        </is>
      </c>
      <c r="H13" s="22" t="inlineStr">
        <is>
          <t>1.1.1.4</t>
        </is>
      </c>
      <c r="I13" s="22" t="n">
        <v>3</v>
      </c>
      <c r="J13" s="22" t="inlineStr"/>
      <c r="K13" s="22" t="inlineStr">
        <is>
          <t>SPEC - action</t>
        </is>
      </c>
      <c r="L13" s="22" t="inlineStr"/>
      <c r="M13" s="22" t="inlineStr">
        <is>
          <t>PoM_M_1</t>
        </is>
      </c>
      <c r="N13" s="22" t="inlineStr">
        <is>
          <t>16-Apr</t>
        </is>
      </c>
      <c r="O13" s="22" t="inlineStr">
        <is>
          <t>16-Apr</t>
        </is>
      </c>
      <c r="P13" s="23" t="n">
        <v>9.300000000000001</v>
      </c>
      <c r="Q13" s="22" t="n">
        <v>1</v>
      </c>
      <c r="R13" s="15" t="n">
        <v>1</v>
      </c>
      <c r="S13" s="16">
        <f>P13*R13</f>
        <v/>
      </c>
      <c r="T13" s="22" t="inlineStr"/>
      <c r="U13" s="17" t="n">
        <v>0</v>
      </c>
      <c r="V13" s="22" t="inlineStr"/>
      <c r="W13" s="22" t="n"/>
      <c r="X13" s="22" t="n"/>
    </row>
    <row r="14">
      <c r="A14" s="12" t="inlineStr">
        <is>
          <t>MODULE</t>
        </is>
      </c>
      <c r="B14" s="12" t="n">
        <v>1</v>
      </c>
      <c r="C14" s="12" t="n">
        <v>1</v>
      </c>
      <c r="D14" s="12" t="n">
        <v>1</v>
      </c>
      <c r="E14" s="12" t="n">
        <v>5</v>
      </c>
      <c r="F14" s="22" t="inlineStr"/>
      <c r="G14" s="22" t="inlineStr">
        <is>
          <t>SPEC</t>
        </is>
      </c>
      <c r="H14" s="22" t="inlineStr">
        <is>
          <t>1.1.1.5</t>
        </is>
      </c>
      <c r="I14" s="22" t="n">
        <v>3</v>
      </c>
      <c r="J14" s="22" t="inlineStr"/>
      <c r="K14" s="22" t="inlineStr">
        <is>
          <t>SPEC - action</t>
        </is>
      </c>
      <c r="L14" s="22" t="inlineStr"/>
      <c r="M14" s="22" t="inlineStr">
        <is>
          <t>PoM_M_1</t>
        </is>
      </c>
      <c r="N14" s="22" t="inlineStr">
        <is>
          <t>16-Apr</t>
        </is>
      </c>
      <c r="O14" s="22" t="inlineStr">
        <is>
          <t>16-Apr</t>
        </is>
      </c>
      <c r="P14" s="23" t="n">
        <v>5.6</v>
      </c>
      <c r="Q14" s="22" t="n">
        <v>1</v>
      </c>
      <c r="R14" s="15" t="n">
        <v>1</v>
      </c>
      <c r="S14" s="16">
        <f>P14*R14</f>
        <v/>
      </c>
      <c r="T14" s="22" t="inlineStr"/>
      <c r="U14" s="17" t="n">
        <v>0</v>
      </c>
      <c r="V14" s="22" t="inlineStr"/>
      <c r="W14" s="22" t="n"/>
      <c r="X14" s="22" t="n"/>
    </row>
    <row r="15">
      <c r="A15" s="12" t="inlineStr">
        <is>
          <t>MODULE</t>
        </is>
      </c>
      <c r="B15" s="12" t="n">
        <v>1</v>
      </c>
      <c r="C15" s="12" t="n">
        <v>1</v>
      </c>
      <c r="D15" s="12" t="n">
        <v>1</v>
      </c>
      <c r="E15" s="12" t="n">
        <v>6</v>
      </c>
      <c r="F15" s="22" t="inlineStr"/>
      <c r="G15" s="22" t="inlineStr">
        <is>
          <t>SPEC</t>
        </is>
      </c>
      <c r="H15" s="22" t="inlineStr">
        <is>
          <t>1.1.1.6</t>
        </is>
      </c>
      <c r="I15" s="22" t="n">
        <v>3</v>
      </c>
      <c r="J15" s="22" t="inlineStr"/>
      <c r="K15" s="22" t="inlineStr">
        <is>
          <t>SPEC - action</t>
        </is>
      </c>
      <c r="L15" s="22" t="inlineStr">
        <is>
          <t>Cat</t>
        </is>
      </c>
      <c r="M15" s="22" t="inlineStr">
        <is>
          <t>PoM_M_1</t>
        </is>
      </c>
      <c r="N15" s="22" t="inlineStr">
        <is>
          <t>15-Apr</t>
        </is>
      </c>
      <c r="O15" s="22" t="inlineStr">
        <is>
          <t>15-Apr</t>
        </is>
      </c>
      <c r="P15" s="23" t="n">
        <v>8</v>
      </c>
      <c r="Q15" s="22" t="n">
        <v>1</v>
      </c>
      <c r="R15" s="15" t="n">
        <v>1</v>
      </c>
      <c r="S15" s="16">
        <f>P15*R15</f>
        <v/>
      </c>
      <c r="T15" s="22" t="inlineStr"/>
      <c r="U15" s="17" t="n">
        <v>0</v>
      </c>
      <c r="V15" s="22" t="inlineStr"/>
      <c r="W15" s="22" t="n"/>
      <c r="X15" s="22" t="n"/>
    </row>
    <row r="16">
      <c r="A16" s="12" t="inlineStr">
        <is>
          <t>MODULE</t>
        </is>
      </c>
      <c r="B16" s="12" t="n">
        <v>1</v>
      </c>
      <c r="C16" s="12" t="n">
        <v>1</v>
      </c>
      <c r="D16" s="12" t="n">
        <v>2</v>
      </c>
      <c r="E16" s="12" t="n">
        <v>0</v>
      </c>
      <c r="F16" s="20" t="inlineStr"/>
      <c r="G16" s="20" t="inlineStr">
        <is>
          <t>SPEC</t>
        </is>
      </c>
      <c r="H16" s="20" t="inlineStr">
        <is>
          <t>1.1.2</t>
        </is>
      </c>
      <c r="I16" s="20" t="n">
        <v>2</v>
      </c>
      <c r="J16" s="20" t="inlineStr"/>
      <c r="K16" s="20" t="inlineStr">
        <is>
          <t>SPEC - action</t>
        </is>
      </c>
      <c r="L16" s="20" t="inlineStr"/>
      <c r="M16" s="20" t="inlineStr">
        <is>
          <t>PoM_M_1</t>
        </is>
      </c>
      <c r="N16" s="20" t="inlineStr">
        <is>
          <t>17-Apr</t>
        </is>
      </c>
      <c r="O16" s="20" t="inlineStr">
        <is>
          <t>21-Apr</t>
        </is>
      </c>
      <c r="P16" s="21" t="n">
        <v>16</v>
      </c>
      <c r="Q16" s="20" t="n">
        <v>1</v>
      </c>
      <c r="R16" s="15" t="n">
        <v>1</v>
      </c>
      <c r="S16" s="16">
        <f>P16*R16</f>
        <v/>
      </c>
      <c r="T16" s="20" t="inlineStr"/>
      <c r="U16" s="17" t="n">
        <v>0</v>
      </c>
      <c r="V16" s="20" t="inlineStr"/>
      <c r="W16" s="20" t="n"/>
      <c r="X16" s="20" t="n"/>
    </row>
    <row r="17">
      <c r="A17" s="12" t="inlineStr">
        <is>
          <t>MODULE</t>
        </is>
      </c>
      <c r="B17" s="12" t="n">
        <v>1</v>
      </c>
      <c r="C17" s="12" t="n">
        <v>1</v>
      </c>
      <c r="D17" s="12" t="n">
        <v>2</v>
      </c>
      <c r="E17" s="12" t="n">
        <v>1</v>
      </c>
      <c r="F17" s="22" t="inlineStr"/>
      <c r="G17" s="22" t="inlineStr">
        <is>
          <t>SPEC</t>
        </is>
      </c>
      <c r="H17" s="22" t="inlineStr">
        <is>
          <t>1.1.2.1</t>
        </is>
      </c>
      <c r="I17" s="22" t="n">
        <v>3</v>
      </c>
      <c r="J17" s="22" t="inlineStr"/>
      <c r="K17" s="22" t="inlineStr">
        <is>
          <t>SPEC - action</t>
        </is>
      </c>
      <c r="L17" s="22" t="inlineStr"/>
      <c r="M17" s="22" t="inlineStr">
        <is>
          <t>PoM_M_1</t>
        </is>
      </c>
      <c r="N17" s="22" t="inlineStr">
        <is>
          <t>17-Apr</t>
        </is>
      </c>
      <c r="O17" s="22" t="inlineStr">
        <is>
          <t>21-Apr</t>
        </is>
      </c>
      <c r="P17" s="23" t="n">
        <v>8</v>
      </c>
      <c r="Q17" s="22" t="n">
        <v>1</v>
      </c>
      <c r="R17" s="15" t="n">
        <v>1</v>
      </c>
      <c r="S17" s="16">
        <f>P17*R17</f>
        <v/>
      </c>
      <c r="T17" s="22" t="inlineStr"/>
      <c r="U17" s="17" t="n">
        <v>0</v>
      </c>
      <c r="V17" s="22" t="inlineStr"/>
      <c r="W17" s="22" t="n"/>
      <c r="X17" s="22" t="n"/>
    </row>
    <row r="18">
      <c r="A18" s="12" t="inlineStr">
        <is>
          <t>MODULE</t>
        </is>
      </c>
      <c r="B18" s="12" t="n">
        <v>1</v>
      </c>
      <c r="C18" s="12" t="n">
        <v>1</v>
      </c>
      <c r="D18" s="12" t="n">
        <v>2</v>
      </c>
      <c r="E18" s="12" t="n">
        <v>2</v>
      </c>
      <c r="F18" s="22" t="inlineStr"/>
      <c r="G18" s="22" t="inlineStr">
        <is>
          <t>SPEC</t>
        </is>
      </c>
      <c r="H18" s="22" t="inlineStr">
        <is>
          <t>1.1.2.2</t>
        </is>
      </c>
      <c r="I18" s="22" t="n">
        <v>3</v>
      </c>
      <c r="J18" s="22" t="inlineStr"/>
      <c r="K18" s="22" t="inlineStr">
        <is>
          <t>SPEC - action</t>
        </is>
      </c>
      <c r="L18" s="22" t="inlineStr"/>
      <c r="M18" s="22" t="inlineStr">
        <is>
          <t>PoM_M_1</t>
        </is>
      </c>
      <c r="N18" s="22" t="inlineStr">
        <is>
          <t>17-Apr</t>
        </is>
      </c>
      <c r="O18" s="22" t="inlineStr">
        <is>
          <t>21-Apr</t>
        </is>
      </c>
      <c r="P18" s="23" t="n">
        <v>8</v>
      </c>
      <c r="Q18" s="22" t="n">
        <v>1</v>
      </c>
      <c r="R18" s="15" t="n">
        <v>1</v>
      </c>
      <c r="S18" s="16">
        <f>P18*R18</f>
        <v/>
      </c>
      <c r="T18" s="22" t="inlineStr"/>
      <c r="U18" s="17" t="n">
        <v>0</v>
      </c>
      <c r="V18" s="22" t="inlineStr"/>
      <c r="W18" s="22" t="n"/>
      <c r="X18" s="22" t="n"/>
    </row>
    <row r="19">
      <c r="A19" s="12" t="inlineStr">
        <is>
          <t>MODULE</t>
        </is>
      </c>
      <c r="B19" s="12" t="n">
        <v>1</v>
      </c>
      <c r="C19" s="12" t="n">
        <v>1</v>
      </c>
      <c r="D19" s="12" t="n">
        <v>3</v>
      </c>
      <c r="E19" s="12" t="n">
        <v>0</v>
      </c>
      <c r="F19" s="20" t="inlineStr"/>
      <c r="G19" s="20" t="inlineStr">
        <is>
          <t>SPEC-CUS</t>
        </is>
      </c>
      <c r="H19" s="20" t="inlineStr">
        <is>
          <t>1.1.3</t>
        </is>
      </c>
      <c r="I19" s="20" t="n">
        <v>2</v>
      </c>
      <c r="J19" s="20" t="inlineStr"/>
      <c r="K19" s="20" t="inlineStr">
        <is>
          <t>SPEC-CUS - action</t>
        </is>
      </c>
      <c r="L19" s="20" t="inlineStr"/>
      <c r="M19" s="20" t="inlineStr">
        <is>
          <t>PoM_M_4</t>
        </is>
      </c>
      <c r="N19" s="20" t="inlineStr">
        <is>
          <t>22-May</t>
        </is>
      </c>
      <c r="O19" s="20" t="inlineStr">
        <is>
          <t>26-May</t>
        </is>
      </c>
      <c r="P19" s="21" t="n">
        <v>7.4</v>
      </c>
      <c r="Q19" s="20" t="n">
        <v>0.57</v>
      </c>
      <c r="R19" s="15" t="n">
        <v>0</v>
      </c>
      <c r="S19" s="16">
        <f>P19*R19</f>
        <v/>
      </c>
      <c r="T19" s="20" t="inlineStr"/>
      <c r="U19" s="17" t="n">
        <v>-0.57</v>
      </c>
      <c r="V19" s="20" t="inlineStr">
        <is>
          <t>waiting OEM feedback</t>
        </is>
      </c>
      <c r="W19" s="20" t="n"/>
      <c r="X19" s="20" t="n"/>
    </row>
    <row r="20">
      <c r="A20" s="12" t="inlineStr">
        <is>
          <t>MODULE</t>
        </is>
      </c>
      <c r="B20" s="12" t="n">
        <v>1</v>
      </c>
      <c r="C20" s="12" t="n">
        <v>1</v>
      </c>
      <c r="D20" s="12" t="n">
        <v>3</v>
      </c>
      <c r="E20" s="12" t="n">
        <v>1</v>
      </c>
      <c r="F20" s="22" t="inlineStr"/>
      <c r="G20" s="22" t="inlineStr">
        <is>
          <t>SPEC-CUS</t>
        </is>
      </c>
      <c r="H20" s="22" t="inlineStr">
        <is>
          <t>1.1.3.1</t>
        </is>
      </c>
      <c r="I20" s="22" t="n">
        <v>3</v>
      </c>
      <c r="J20" s="22" t="inlineStr"/>
      <c r="K20" s="22" t="inlineStr">
        <is>
          <t>SPEC-CUS - action</t>
        </is>
      </c>
      <c r="L20" s="22" t="inlineStr">
        <is>
          <t>Lion</t>
        </is>
      </c>
      <c r="M20" s="22" t="inlineStr">
        <is>
          <t>PoM_M_4</t>
        </is>
      </c>
      <c r="N20" s="22" t="inlineStr">
        <is>
          <t>22-May</t>
        </is>
      </c>
      <c r="O20" s="22" t="inlineStr">
        <is>
          <t>22-May</t>
        </is>
      </c>
      <c r="P20" s="23" t="n">
        <v>4.2</v>
      </c>
      <c r="Q20" s="22" t="n">
        <v>1</v>
      </c>
      <c r="R20" s="15" t="n">
        <v>0</v>
      </c>
      <c r="S20" s="16">
        <f>P20*R20</f>
        <v/>
      </c>
      <c r="T20" s="22" t="inlineStr"/>
      <c r="U20" s="17" t="n">
        <v>-1</v>
      </c>
      <c r="V20" s="22" t="inlineStr">
        <is>
          <t>blocked waiting input</t>
        </is>
      </c>
      <c r="W20" s="22" t="n"/>
      <c r="X20" s="22" t="n"/>
    </row>
    <row r="21">
      <c r="A21" s="12" t="inlineStr">
        <is>
          <t>MODULE</t>
        </is>
      </c>
      <c r="B21" s="12" t="n">
        <v>1</v>
      </c>
      <c r="C21" s="12" t="n">
        <v>1</v>
      </c>
      <c r="D21" s="12" t="n">
        <v>3</v>
      </c>
      <c r="E21" s="12" t="n">
        <v>2</v>
      </c>
      <c r="F21" s="22" t="inlineStr"/>
      <c r="G21" s="22" t="inlineStr">
        <is>
          <t>SPEC-CUS</t>
        </is>
      </c>
      <c r="H21" s="22" t="inlineStr">
        <is>
          <t>1.1.3.2</t>
        </is>
      </c>
      <c r="I21" s="22" t="n">
        <v>3</v>
      </c>
      <c r="J21" s="22" t="inlineStr"/>
      <c r="K21" s="22" t="inlineStr">
        <is>
          <t>SPEC-CUS - action</t>
        </is>
      </c>
      <c r="L21" s="22" t="inlineStr">
        <is>
          <t>Tiger</t>
        </is>
      </c>
      <c r="M21" s="22" t="inlineStr">
        <is>
          <t>PoM_M_4</t>
        </is>
      </c>
      <c r="N21" s="22" t="inlineStr">
        <is>
          <t>25-May</t>
        </is>
      </c>
      <c r="O21" s="22" t="inlineStr">
        <is>
          <t>25-May</t>
        </is>
      </c>
      <c r="P21" s="23" t="n">
        <v>0.6</v>
      </c>
      <c r="Q21" s="22" t="n">
        <v>0</v>
      </c>
      <c r="R21" s="15" t="n">
        <v>0</v>
      </c>
      <c r="S21" s="16">
        <f>P21*R21</f>
        <v/>
      </c>
      <c r="T21" s="22" t="inlineStr"/>
      <c r="U21" s="17" t="n">
        <v>0</v>
      </c>
      <c r="V21" s="22" t="inlineStr"/>
      <c r="W21" s="22" t="n"/>
      <c r="X21" s="22" t="n"/>
    </row>
    <row r="22">
      <c r="A22" s="12" t="inlineStr">
        <is>
          <t>MODULE</t>
        </is>
      </c>
      <c r="B22" s="12" t="n">
        <v>1</v>
      </c>
      <c r="C22" s="12" t="n">
        <v>1</v>
      </c>
      <c r="D22" s="12" t="n">
        <v>3</v>
      </c>
      <c r="E22" s="12" t="n">
        <v>3</v>
      </c>
      <c r="F22" s="22" t="inlineStr"/>
      <c r="G22" s="22" t="inlineStr">
        <is>
          <t>SPEC-CUS</t>
        </is>
      </c>
      <c r="H22" s="22" t="inlineStr">
        <is>
          <t>1.1.3.3</t>
        </is>
      </c>
      <c r="I22" s="22" t="n">
        <v>3</v>
      </c>
      <c r="J22" s="22" t="inlineStr"/>
      <c r="K22" s="22" t="inlineStr">
        <is>
          <t>SPEC-CUS - action</t>
        </is>
      </c>
      <c r="L22" s="22" t="inlineStr">
        <is>
          <t>Lion</t>
        </is>
      </c>
      <c r="M22" s="22" t="inlineStr">
        <is>
          <t>PoM_M_4</t>
        </is>
      </c>
      <c r="N22" s="22" t="inlineStr">
        <is>
          <t>25-May</t>
        </is>
      </c>
      <c r="O22" s="22" t="inlineStr">
        <is>
          <t>25-May</t>
        </is>
      </c>
      <c r="P22" s="23" t="n">
        <v>0.6</v>
      </c>
      <c r="Q22" s="22" t="n">
        <v>0</v>
      </c>
      <c r="R22" s="15" t="n">
        <v>0</v>
      </c>
      <c r="S22" s="16">
        <f>P22*R22</f>
        <v/>
      </c>
      <c r="T22" s="22" t="inlineStr"/>
      <c r="U22" s="17" t="n">
        <v>0</v>
      </c>
      <c r="V22" s="22" t="inlineStr"/>
      <c r="W22" s="22" t="n"/>
      <c r="X22" s="22" t="n"/>
    </row>
    <row r="23">
      <c r="A23" s="12" t="inlineStr">
        <is>
          <t>MODULE</t>
        </is>
      </c>
      <c r="B23" s="12" t="n">
        <v>1</v>
      </c>
      <c r="C23" s="12" t="n">
        <v>1</v>
      </c>
      <c r="D23" s="12" t="n">
        <v>3</v>
      </c>
      <c r="E23" s="12" t="n">
        <v>4</v>
      </c>
      <c r="F23" s="22" t="inlineStr"/>
      <c r="G23" s="22" t="inlineStr">
        <is>
          <t>SPEC-CUS</t>
        </is>
      </c>
      <c r="H23" s="22" t="inlineStr">
        <is>
          <t>1.1.3.4</t>
        </is>
      </c>
      <c r="I23" s="22" t="n">
        <v>3</v>
      </c>
      <c r="J23" s="22" t="inlineStr"/>
      <c r="K23" s="22" t="inlineStr">
        <is>
          <t>SPEC-CUS - action</t>
        </is>
      </c>
      <c r="L23" s="22" t="inlineStr"/>
      <c r="M23" s="22" t="inlineStr">
        <is>
          <t>PoM_M_4</t>
        </is>
      </c>
      <c r="N23" s="22" t="inlineStr">
        <is>
          <t>26-May</t>
        </is>
      </c>
      <c r="O23" s="22" t="inlineStr">
        <is>
          <t>26-May</t>
        </is>
      </c>
      <c r="P23" s="23" t="n">
        <v>0.6</v>
      </c>
      <c r="Q23" s="22" t="n">
        <v>0</v>
      </c>
      <c r="R23" s="15" t="n">
        <v>0</v>
      </c>
      <c r="S23" s="16">
        <f>P23*R23</f>
        <v/>
      </c>
      <c r="T23" s="22" t="inlineStr"/>
      <c r="U23" s="17" t="n">
        <v>0</v>
      </c>
      <c r="V23" s="22" t="inlineStr"/>
      <c r="W23" s="22" t="n"/>
      <c r="X23" s="22" t="n"/>
    </row>
    <row r="24">
      <c r="A24" s="12" t="inlineStr">
        <is>
          <t>MODULE</t>
        </is>
      </c>
      <c r="B24" s="12" t="n">
        <v>1</v>
      </c>
      <c r="C24" s="12" t="n">
        <v>1</v>
      </c>
      <c r="D24" s="12" t="n">
        <v>3</v>
      </c>
      <c r="E24" s="12" t="n">
        <v>5</v>
      </c>
      <c r="F24" s="22" t="inlineStr"/>
      <c r="G24" s="22" t="inlineStr">
        <is>
          <t>SPEC-CUS</t>
        </is>
      </c>
      <c r="H24" s="22" t="inlineStr">
        <is>
          <t>1.1.3.5</t>
        </is>
      </c>
      <c r="I24" s="22" t="n">
        <v>3</v>
      </c>
      <c r="J24" s="22" t="inlineStr"/>
      <c r="K24" s="22" t="inlineStr">
        <is>
          <t>SPEC-CUS - action</t>
        </is>
      </c>
      <c r="L24" s="22" t="inlineStr"/>
      <c r="M24" s="22" t="inlineStr">
        <is>
          <t>PoM_M_4</t>
        </is>
      </c>
      <c r="N24" s="22" t="inlineStr">
        <is>
          <t>26-May</t>
        </is>
      </c>
      <c r="O24" s="22" t="inlineStr">
        <is>
          <t>26-May</t>
        </is>
      </c>
      <c r="P24" s="23" t="n">
        <v>0.6</v>
      </c>
      <c r="Q24" s="22" t="n">
        <v>0</v>
      </c>
      <c r="R24" s="15" t="n">
        <v>0</v>
      </c>
      <c r="S24" s="16">
        <f>P24*R24</f>
        <v/>
      </c>
      <c r="T24" s="22" t="inlineStr"/>
      <c r="U24" s="17" t="n">
        <v>0</v>
      </c>
      <c r="V24" s="22" t="inlineStr"/>
      <c r="W24" s="22" t="n"/>
      <c r="X24" s="22" t="n"/>
    </row>
    <row r="25">
      <c r="A25" s="12" t="inlineStr">
        <is>
          <t>MODULE</t>
        </is>
      </c>
      <c r="B25" s="12" t="n">
        <v>1</v>
      </c>
      <c r="C25" s="12" t="n">
        <v>1</v>
      </c>
      <c r="D25" s="12" t="n">
        <v>3</v>
      </c>
      <c r="E25" s="12" t="n">
        <v>6</v>
      </c>
      <c r="F25" s="22" t="inlineStr"/>
      <c r="G25" s="22" t="inlineStr">
        <is>
          <t>SPEC-CUS</t>
        </is>
      </c>
      <c r="H25" s="22" t="inlineStr">
        <is>
          <t>1.1.3.6</t>
        </is>
      </c>
      <c r="I25" s="22" t="n">
        <v>3</v>
      </c>
      <c r="J25" s="22" t="inlineStr"/>
      <c r="K25" s="22" t="inlineStr">
        <is>
          <t>SPEC-CUS - action</t>
        </is>
      </c>
      <c r="L25" s="22" t="inlineStr">
        <is>
          <t>Cat</t>
        </is>
      </c>
      <c r="M25" s="22" t="inlineStr">
        <is>
          <t>PoM_M_4</t>
        </is>
      </c>
      <c r="N25" s="22" t="inlineStr">
        <is>
          <t>26-May</t>
        </is>
      </c>
      <c r="O25" s="22" t="inlineStr">
        <is>
          <t>26-May</t>
        </is>
      </c>
      <c r="P25" s="23" t="n">
        <v>0.6</v>
      </c>
      <c r="Q25" s="22" t="n">
        <v>0</v>
      </c>
      <c r="R25" s="15" t="n">
        <v>0</v>
      </c>
      <c r="S25" s="16">
        <f>P25*R25</f>
        <v/>
      </c>
      <c r="T25" s="22" t="inlineStr"/>
      <c r="U25" s="17" t="n">
        <v>0</v>
      </c>
      <c r="V25" s="22" t="inlineStr"/>
      <c r="W25" s="22" t="n"/>
      <c r="X25" s="22" t="n"/>
    </row>
    <row r="26">
      <c r="A26" s="12" t="inlineStr">
        <is>
          <t>MODULE</t>
        </is>
      </c>
      <c r="B26" s="12" t="n">
        <v>1</v>
      </c>
      <c r="C26" s="12" t="n">
        <v>1</v>
      </c>
      <c r="D26" s="12" t="n">
        <v>4</v>
      </c>
      <c r="E26" s="12" t="n">
        <v>0</v>
      </c>
      <c r="F26" s="20" t="inlineStr"/>
      <c r="G26" s="20" t="inlineStr">
        <is>
          <t>SPEC-CUS</t>
        </is>
      </c>
      <c r="H26" s="20" t="inlineStr">
        <is>
          <t>1.1.4</t>
        </is>
      </c>
      <c r="I26" s="20" t="n">
        <v>2</v>
      </c>
      <c r="J26" s="20" t="inlineStr"/>
      <c r="K26" s="20" t="inlineStr">
        <is>
          <t>SPEC-CUS - action</t>
        </is>
      </c>
      <c r="L26" s="20" t="inlineStr"/>
      <c r="M26" s="20" t="inlineStr">
        <is>
          <t>PoM_M_4</t>
        </is>
      </c>
      <c r="N26" s="20" t="inlineStr">
        <is>
          <t>27-May</t>
        </is>
      </c>
      <c r="O26" s="20" t="inlineStr">
        <is>
          <t>29-May</t>
        </is>
      </c>
      <c r="P26" s="21" t="n">
        <v>1.3</v>
      </c>
      <c r="Q26" s="20" t="n">
        <v>0</v>
      </c>
      <c r="R26" s="15" t="n">
        <v>0</v>
      </c>
      <c r="S26" s="16">
        <f>P26*R26</f>
        <v/>
      </c>
      <c r="T26" s="20" t="inlineStr"/>
      <c r="U26" s="17" t="n">
        <v>0</v>
      </c>
      <c r="V26" s="20" t="inlineStr"/>
      <c r="W26" s="20" t="n"/>
      <c r="X26" s="20" t="n"/>
    </row>
    <row r="27">
      <c r="A27" s="12" t="inlineStr">
        <is>
          <t>MODULE</t>
        </is>
      </c>
      <c r="B27" s="12" t="n">
        <v>1</v>
      </c>
      <c r="C27" s="12" t="n">
        <v>1</v>
      </c>
      <c r="D27" s="12" t="n">
        <v>4</v>
      </c>
      <c r="E27" s="12" t="n">
        <v>1</v>
      </c>
      <c r="F27" s="22" t="inlineStr"/>
      <c r="G27" s="22" t="inlineStr">
        <is>
          <t>SPEC-CUS</t>
        </is>
      </c>
      <c r="H27" s="22" t="inlineStr">
        <is>
          <t>1.1.4.1</t>
        </is>
      </c>
      <c r="I27" s="22" t="n">
        <v>3</v>
      </c>
      <c r="J27" s="22" t="inlineStr"/>
      <c r="K27" s="22" t="inlineStr">
        <is>
          <t>SPEC-CUS - action</t>
        </is>
      </c>
      <c r="L27" s="22" t="inlineStr"/>
      <c r="M27" s="22" t="inlineStr">
        <is>
          <t>PoM_M_4</t>
        </is>
      </c>
      <c r="N27" s="22" t="inlineStr">
        <is>
          <t>27-May</t>
        </is>
      </c>
      <c r="O27" s="22" t="inlineStr">
        <is>
          <t>29-May</t>
        </is>
      </c>
      <c r="P27" s="23" t="n">
        <v>0.6</v>
      </c>
      <c r="Q27" s="22" t="n">
        <v>0</v>
      </c>
      <c r="R27" s="15" t="n">
        <v>0</v>
      </c>
      <c r="S27" s="16">
        <f>P27*R27</f>
        <v/>
      </c>
      <c r="T27" s="22" t="inlineStr"/>
      <c r="U27" s="17" t="n">
        <v>0</v>
      </c>
      <c r="V27" s="22" t="inlineStr"/>
      <c r="W27" s="22" t="n"/>
      <c r="X27" s="22" t="n"/>
    </row>
    <row r="28">
      <c r="A28" s="12" t="inlineStr">
        <is>
          <t>MODULE</t>
        </is>
      </c>
      <c r="B28" s="12" t="n">
        <v>1</v>
      </c>
      <c r="C28" s="12" t="n">
        <v>1</v>
      </c>
      <c r="D28" s="12" t="n">
        <v>4</v>
      </c>
      <c r="E28" s="12" t="n">
        <v>2</v>
      </c>
      <c r="F28" s="22" t="inlineStr"/>
      <c r="G28" s="22" t="inlineStr">
        <is>
          <t>SPEC-CUS</t>
        </is>
      </c>
      <c r="H28" s="22" t="inlineStr">
        <is>
          <t>1.1.4.2</t>
        </is>
      </c>
      <c r="I28" s="22" t="n">
        <v>3</v>
      </c>
      <c r="J28" s="22" t="inlineStr"/>
      <c r="K28" s="22" t="inlineStr">
        <is>
          <t>SPEC-CUS - action</t>
        </is>
      </c>
      <c r="L28" s="22" t="inlineStr"/>
      <c r="M28" s="22" t="inlineStr">
        <is>
          <t>PoM_M_4</t>
        </is>
      </c>
      <c r="N28" s="22" t="inlineStr">
        <is>
          <t>27-May</t>
        </is>
      </c>
      <c r="O28" s="22" t="inlineStr">
        <is>
          <t>29-May</t>
        </is>
      </c>
      <c r="P28" s="23" t="n">
        <v>0.6</v>
      </c>
      <c r="Q28" s="22" t="n">
        <v>0</v>
      </c>
      <c r="R28" s="15" t="n">
        <v>0</v>
      </c>
      <c r="S28" s="16">
        <f>P28*R28</f>
        <v/>
      </c>
      <c r="T28" s="22" t="inlineStr"/>
      <c r="U28" s="17" t="n">
        <v>0</v>
      </c>
      <c r="V28" s="22" t="inlineStr"/>
      <c r="W28" s="22" t="n"/>
      <c r="X28" s="22" t="n"/>
    </row>
    <row r="29">
      <c r="A29" s="12" t="inlineStr">
        <is>
          <t>MODULE</t>
        </is>
      </c>
      <c r="B29" s="12" t="n">
        <v>1</v>
      </c>
      <c r="C29" s="12" t="n">
        <v>1</v>
      </c>
      <c r="D29" s="12" t="n">
        <v>5</v>
      </c>
      <c r="E29" s="12" t="n">
        <v>0</v>
      </c>
      <c r="F29" s="20" t="inlineStr"/>
      <c r="G29" s="20" t="inlineStr">
        <is>
          <t>Code</t>
        </is>
      </c>
      <c r="H29" s="20" t="inlineStr">
        <is>
          <t>1.1.5</t>
        </is>
      </c>
      <c r="I29" s="20" t="n">
        <v>2</v>
      </c>
      <c r="J29" s="20" t="inlineStr"/>
      <c r="K29" s="20" t="inlineStr">
        <is>
          <t>Code - action</t>
        </is>
      </c>
      <c r="L29" s="20" t="inlineStr"/>
      <c r="M29" s="20" t="inlineStr">
        <is>
          <t>PoM_M_2</t>
        </is>
      </c>
      <c r="N29" s="20" t="inlineStr">
        <is>
          <t>14-Apr</t>
        </is>
      </c>
      <c r="O29" s="20" t="inlineStr">
        <is>
          <t>25-May</t>
        </is>
      </c>
      <c r="P29" s="21" t="n">
        <v>20.5</v>
      </c>
      <c r="Q29" s="20" t="n">
        <v>0.45</v>
      </c>
      <c r="R29" s="15" t="n">
        <v>0.45</v>
      </c>
      <c r="S29" s="16">
        <f>P29*R29</f>
        <v/>
      </c>
      <c r="T29" s="20" t="inlineStr"/>
      <c r="U29" s="17" t="n">
        <v>0</v>
      </c>
      <c r="V29" s="20" t="inlineStr"/>
      <c r="W29" s="20" t="n"/>
      <c r="X29" s="20" t="n"/>
    </row>
    <row r="30">
      <c r="A30" s="12" t="inlineStr">
        <is>
          <t>MODULE</t>
        </is>
      </c>
      <c r="B30" s="12" t="n">
        <v>1</v>
      </c>
      <c r="C30" s="12" t="n">
        <v>1</v>
      </c>
      <c r="D30" s="12" t="n">
        <v>5</v>
      </c>
      <c r="E30" s="12" t="n">
        <v>1</v>
      </c>
      <c r="F30" s="22" t="inlineStr"/>
      <c r="G30" s="22" t="inlineStr">
        <is>
          <t>Code</t>
        </is>
      </c>
      <c r="H30" s="22" t="inlineStr">
        <is>
          <t>1.1.5.1</t>
        </is>
      </c>
      <c r="I30" s="22" t="n">
        <v>3</v>
      </c>
      <c r="J30" s="22" t="inlineStr"/>
      <c r="K30" s="22" t="inlineStr">
        <is>
          <t>Code - action</t>
        </is>
      </c>
      <c r="L30" s="22" t="inlineStr">
        <is>
          <t>Cat</t>
        </is>
      </c>
      <c r="M30" s="22" t="inlineStr">
        <is>
          <t>PoM_M_2</t>
        </is>
      </c>
      <c r="N30" s="22" t="inlineStr">
        <is>
          <t>14-Apr</t>
        </is>
      </c>
      <c r="O30" s="22" t="inlineStr">
        <is>
          <t>16-Apr</t>
        </is>
      </c>
      <c r="P30" s="23" t="n">
        <v>9.300000000000001</v>
      </c>
      <c r="Q30" s="22" t="n">
        <v>1</v>
      </c>
      <c r="R30" s="15" t="n">
        <v>1</v>
      </c>
      <c r="S30" s="16">
        <f>P30*R30</f>
        <v/>
      </c>
      <c r="T30" s="22" t="inlineStr"/>
      <c r="U30" s="17" t="n">
        <v>0</v>
      </c>
      <c r="V30" s="22" t="inlineStr"/>
      <c r="W30" s="22" t="n"/>
      <c r="X30" s="22" t="n"/>
    </row>
    <row r="31">
      <c r="A31" s="12" t="inlineStr">
        <is>
          <t>MODULE</t>
        </is>
      </c>
      <c r="B31" s="12" t="n">
        <v>1</v>
      </c>
      <c r="C31" s="12" t="n">
        <v>1</v>
      </c>
      <c r="D31" s="12" t="n">
        <v>5</v>
      </c>
      <c r="E31" s="12" t="n">
        <v>2</v>
      </c>
      <c r="F31" s="22" t="inlineStr"/>
      <c r="G31" s="22" t="inlineStr">
        <is>
          <t>Code</t>
        </is>
      </c>
      <c r="H31" s="22" t="inlineStr">
        <is>
          <t>1.1.5.2</t>
        </is>
      </c>
      <c r="I31" s="22" t="n">
        <v>3</v>
      </c>
      <c r="J31" s="22" t="inlineStr"/>
      <c r="K31" s="22" t="inlineStr">
        <is>
          <t>Code - action</t>
        </is>
      </c>
      <c r="L31" s="22" t="inlineStr">
        <is>
          <t>Tiger</t>
        </is>
      </c>
      <c r="M31" s="22" t="inlineStr">
        <is>
          <t>PoM_M_2</t>
        </is>
      </c>
      <c r="N31" s="22" t="inlineStr">
        <is>
          <t>25-May</t>
        </is>
      </c>
      <c r="O31" s="22" t="inlineStr">
        <is>
          <t>25-May</t>
        </is>
      </c>
      <c r="P31" s="23" t="n">
        <v>2.8</v>
      </c>
      <c r="Q31" s="22" t="n">
        <v>0</v>
      </c>
      <c r="R31" s="15" t="n">
        <v>0</v>
      </c>
      <c r="S31" s="16">
        <f>P31*R31</f>
        <v/>
      </c>
      <c r="T31" s="22" t="inlineStr"/>
      <c r="U31" s="17" t="n">
        <v>0</v>
      </c>
      <c r="V31" s="22" t="inlineStr"/>
      <c r="W31" s="22" t="n"/>
      <c r="X31" s="22" t="n"/>
    </row>
    <row r="32">
      <c r="A32" s="12" t="inlineStr">
        <is>
          <t>MODULE</t>
        </is>
      </c>
      <c r="B32" s="12" t="n">
        <v>1</v>
      </c>
      <c r="C32" s="12" t="n">
        <v>1</v>
      </c>
      <c r="D32" s="12" t="n">
        <v>5</v>
      </c>
      <c r="E32" s="12" t="n">
        <v>3</v>
      </c>
      <c r="F32" s="22" t="inlineStr"/>
      <c r="G32" s="22" t="inlineStr">
        <is>
          <t>Code</t>
        </is>
      </c>
      <c r="H32" s="22" t="inlineStr">
        <is>
          <t>1.1.5.3</t>
        </is>
      </c>
      <c r="I32" s="22" t="n">
        <v>3</v>
      </c>
      <c r="J32" s="22" t="inlineStr"/>
      <c r="K32" s="22" t="inlineStr">
        <is>
          <t>Code - action</t>
        </is>
      </c>
      <c r="L32" s="22" t="inlineStr">
        <is>
          <t>Cat</t>
        </is>
      </c>
      <c r="M32" s="22" t="inlineStr">
        <is>
          <t>PoM_M_2</t>
        </is>
      </c>
      <c r="N32" s="22" t="inlineStr">
        <is>
          <t>25-May</t>
        </is>
      </c>
      <c r="O32" s="22" t="inlineStr">
        <is>
          <t>25-May</t>
        </is>
      </c>
      <c r="P32" s="23" t="n">
        <v>2.8</v>
      </c>
      <c r="Q32" s="22" t="n">
        <v>0</v>
      </c>
      <c r="R32" s="15" t="n">
        <v>0</v>
      </c>
      <c r="S32" s="16">
        <f>P32*R32</f>
        <v/>
      </c>
      <c r="T32" s="22" t="inlineStr"/>
      <c r="U32" s="17" t="n">
        <v>0</v>
      </c>
      <c r="V32" s="22" t="inlineStr"/>
      <c r="W32" s="22" t="n"/>
      <c r="X32" s="22" t="n"/>
    </row>
    <row r="33">
      <c r="A33" s="12" t="inlineStr">
        <is>
          <t>MODULE</t>
        </is>
      </c>
      <c r="B33" s="12" t="n">
        <v>1</v>
      </c>
      <c r="C33" s="12" t="n">
        <v>1</v>
      </c>
      <c r="D33" s="12" t="n">
        <v>5</v>
      </c>
      <c r="E33" s="12" t="n">
        <v>4</v>
      </c>
      <c r="F33" s="22" t="inlineStr"/>
      <c r="G33" s="22" t="inlineStr">
        <is>
          <t>Code</t>
        </is>
      </c>
      <c r="H33" s="22" t="inlineStr">
        <is>
          <t>1.1.5.4</t>
        </is>
      </c>
      <c r="I33" s="22" t="n">
        <v>3</v>
      </c>
      <c r="J33" s="22" t="inlineStr"/>
      <c r="K33" s="22" t="inlineStr">
        <is>
          <t>Code - action</t>
        </is>
      </c>
      <c r="L33" s="22" t="inlineStr"/>
      <c r="M33" s="22" t="inlineStr">
        <is>
          <t>PoM_M_2</t>
        </is>
      </c>
      <c r="N33" s="22" t="inlineStr">
        <is>
          <t>25-May</t>
        </is>
      </c>
      <c r="O33" s="22" t="inlineStr">
        <is>
          <t>25-May</t>
        </is>
      </c>
      <c r="P33" s="23" t="n">
        <v>2.8</v>
      </c>
      <c r="Q33" s="22" t="n">
        <v>0</v>
      </c>
      <c r="R33" s="15" t="n">
        <v>0</v>
      </c>
      <c r="S33" s="16">
        <f>P33*R33</f>
        <v/>
      </c>
      <c r="T33" s="22" t="n">
        <v>9.333333333000001</v>
      </c>
      <c r="U33" s="17" t="n">
        <v>0</v>
      </c>
      <c r="V33" s="22" t="inlineStr"/>
      <c r="W33" s="22" t="n"/>
      <c r="X33" s="22" t="n"/>
    </row>
    <row r="34">
      <c r="A34" s="12" t="inlineStr">
        <is>
          <t>MODULE</t>
        </is>
      </c>
      <c r="B34" s="12" t="n">
        <v>1</v>
      </c>
      <c r="C34" s="12" t="n">
        <v>1</v>
      </c>
      <c r="D34" s="12" t="n">
        <v>5</v>
      </c>
      <c r="E34" s="12" t="n">
        <v>5</v>
      </c>
      <c r="F34" s="22" t="inlineStr"/>
      <c r="G34" s="22" t="inlineStr">
        <is>
          <t>Code</t>
        </is>
      </c>
      <c r="H34" s="22" t="inlineStr">
        <is>
          <t>1.1.5.5</t>
        </is>
      </c>
      <c r="I34" s="22" t="n">
        <v>3</v>
      </c>
      <c r="J34" s="22" t="inlineStr"/>
      <c r="K34" s="22" t="inlineStr">
        <is>
          <t>Code - action</t>
        </is>
      </c>
      <c r="L34" s="22" t="inlineStr">
        <is>
          <t>Cat</t>
        </is>
      </c>
      <c r="M34" s="22" t="inlineStr">
        <is>
          <t>PoM_M_2</t>
        </is>
      </c>
      <c r="N34" s="22" t="inlineStr">
        <is>
          <t>25-May</t>
        </is>
      </c>
      <c r="O34" s="22" t="inlineStr">
        <is>
          <t>25-May</t>
        </is>
      </c>
      <c r="P34" s="23" t="n">
        <v>2.8</v>
      </c>
      <c r="Q34" s="22" t="n">
        <v>0</v>
      </c>
      <c r="R34" s="15" t="n">
        <v>0</v>
      </c>
      <c r="S34" s="16">
        <f>P34*R34</f>
        <v/>
      </c>
      <c r="T34" s="22" t="inlineStr"/>
      <c r="U34" s="17" t="n">
        <v>0</v>
      </c>
      <c r="V34" s="22" t="inlineStr"/>
      <c r="W34" s="22" t="n"/>
      <c r="X34" s="22" t="n"/>
    </row>
    <row r="35">
      <c r="A35" s="12" t="inlineStr">
        <is>
          <t>MODULE</t>
        </is>
      </c>
      <c r="B35" s="12" t="n">
        <v>1</v>
      </c>
      <c r="C35" s="12" t="n">
        <v>1</v>
      </c>
      <c r="D35" s="12" t="n">
        <v>5</v>
      </c>
      <c r="E35" s="12" t="n">
        <v>6</v>
      </c>
      <c r="F35" s="22" t="inlineStr"/>
      <c r="G35" s="22" t="inlineStr">
        <is>
          <t>Code</t>
        </is>
      </c>
      <c r="H35" s="22" t="inlineStr">
        <is>
          <t>1.1.5.6</t>
        </is>
      </c>
      <c r="I35" s="22" t="n">
        <v>3</v>
      </c>
      <c r="J35" s="22" t="inlineStr"/>
      <c r="K35" s="22" t="inlineStr">
        <is>
          <t>Code - action</t>
        </is>
      </c>
      <c r="L35" s="22" t="inlineStr">
        <is>
          <t>Cat</t>
        </is>
      </c>
      <c r="M35" s="22" t="inlineStr">
        <is>
          <t>PoM_M_2</t>
        </is>
      </c>
      <c r="N35" s="22" t="inlineStr">
        <is>
          <t>25-May</t>
        </is>
      </c>
      <c r="O35" s="22" t="b">
        <v>0</v>
      </c>
      <c r="P35" s="23" t="n">
        <v>2.8</v>
      </c>
      <c r="Q35" s="22" t="n">
        <v>0</v>
      </c>
      <c r="R35" s="15" t="n">
        <v>0</v>
      </c>
      <c r="S35" s="16">
        <f>P35*R35</f>
        <v/>
      </c>
      <c r="T35" s="22" t="n">
        <v>4</v>
      </c>
      <c r="U35" s="17" t="n">
        <v>0</v>
      </c>
      <c r="V35" s="22" t="inlineStr"/>
      <c r="W35" s="22" t="n"/>
      <c r="X35" s="22" t="n"/>
    </row>
  </sheetData>
  <autoFilter ref="A5:X35"/>
  <mergeCells count="12">
    <mergeCell ref="O4"/>
    <mergeCell ref="M4"/>
    <mergeCell ref="R4"/>
    <mergeCell ref="Q4"/>
    <mergeCell ref="S4"/>
    <mergeCell ref="T4"/>
    <mergeCell ref="U4"/>
    <mergeCell ref="V4"/>
    <mergeCell ref="N4"/>
    <mergeCell ref="L4"/>
    <mergeCell ref="P4"/>
    <mergeCell ref="G4:K4"/>
  </mergeCells>
  <conditionalFormatting sqref="U7:U35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R7:R35">
    <cfRule type="cellIs" priority="3" operator="lessThan" dxfId="2">
      <formula>0.5</formula>
    </cfRule>
    <cfRule type="cellIs" priority="4" operator="greaterThanOrEqual" dxfId="2">
      <formula>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2026-05-23T05:50:02Z</dcterms:created>
  <dcterms:modified xmlns:dcterms="http://purl.org/dc/terms/" xmlns:xsi="http://www.w3.org/2001/XMLSchema-instance" xsi:type="dcterms:W3CDTF">2026-05-23T05:50:02Z</dcterms:modified>
</cp:coreProperties>
</file>